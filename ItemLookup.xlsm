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elcot\Desktop\"/>
    </mc:Choice>
  </mc:AlternateContent>
  <bookViews>
    <workbookView xWindow="0" yWindow="0" windowWidth="20490" windowHeight="7755" activeTab="1"/>
  </bookViews>
  <sheets>
    <sheet name="Invoice" sheetId="2" r:id="rId1"/>
    <sheet name="Items" sheetId="1" r:id="rId2"/>
    <sheet name="Mail" sheetId="3" r:id="rId3"/>
    <sheet name="Mail Char" sheetId="4" r:id="rId4"/>
    <sheet name="Macros" sheetId="5" r:id="rId5"/>
  </sheets>
  <functionGroups builtInGroupCount="18"/>
  <definedNames>
    <definedName name="Allowed">'Mail Char'!$A:$A</definedName>
    <definedName name="dd_items">tbl_items[ItemNum]</definedName>
    <definedName name="MailChar">Mail!$F$1:$F$65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3" l="1"/>
  <c r="C2" i="3"/>
  <c r="C1" i="3"/>
  <c r="C11" i="3"/>
  <c r="C2" i="5"/>
  <c r="C1" i="5"/>
  <c r="A2" i="3"/>
  <c r="B4" i="3" l="1"/>
  <c r="A4" i="3"/>
  <c r="B3" i="3" l="1"/>
  <c r="B2" i="3"/>
  <c r="A3" i="3"/>
  <c r="D17" i="2" l="1"/>
  <c r="F17" i="2" s="1"/>
  <c r="D18" i="2"/>
  <c r="F18" i="2" s="1"/>
  <c r="C17" i="2"/>
  <c r="C18" i="2"/>
  <c r="C12" i="2" l="1"/>
</calcChain>
</file>

<file path=xl/sharedStrings.xml><?xml version="1.0" encoding="utf-8"?>
<sst xmlns="http://schemas.openxmlformats.org/spreadsheetml/2006/main" count="108" uniqueCount="100">
  <si>
    <t>Excel University</t>
  </si>
  <si>
    <t>Invoice</t>
  </si>
  <si>
    <t>Customer</t>
  </si>
  <si>
    <t>Detail</t>
  </si>
  <si>
    <t>Name</t>
  </si>
  <si>
    <t>Address</t>
  </si>
  <si>
    <t>City</t>
  </si>
  <si>
    <t>State</t>
  </si>
  <si>
    <t>Zip</t>
  </si>
  <si>
    <t>ItemNum</t>
  </si>
  <si>
    <t>Description</t>
  </si>
  <si>
    <t>Price</t>
  </si>
  <si>
    <t>Quantity</t>
  </si>
  <si>
    <t>Total</t>
  </si>
  <si>
    <t>Summary</t>
  </si>
  <si>
    <t>Items</t>
  </si>
  <si>
    <t>Cabinets</t>
  </si>
  <si>
    <t>Cabinet Pulls</t>
  </si>
  <si>
    <t>Standard Doorknobs</t>
  </si>
  <si>
    <t>Locking interior doorknobs</t>
  </si>
  <si>
    <t>Doors</t>
  </si>
  <si>
    <t>Exterior wood door</t>
  </si>
  <si>
    <t>Interior wood door</t>
  </si>
  <si>
    <t>Interior door frame</t>
  </si>
  <si>
    <t>Interior brass hinge</t>
  </si>
  <si>
    <t>Light pine kitchen cabinet</t>
  </si>
  <si>
    <t>CAB01</t>
  </si>
  <si>
    <t>CABP22</t>
  </si>
  <si>
    <t>CABLP02</t>
  </si>
  <si>
    <t>IDF1</t>
  </si>
  <si>
    <t>IDFH02</t>
  </si>
  <si>
    <t>DK31</t>
  </si>
  <si>
    <t>DKLOCK</t>
  </si>
  <si>
    <t>DOOR</t>
  </si>
  <si>
    <t>DIN01</t>
  </si>
  <si>
    <t>DEX01</t>
  </si>
  <si>
    <t>ABC Supply</t>
  </si>
  <si>
    <t>123 Main Street</t>
  </si>
  <si>
    <t>Anytown</t>
  </si>
  <si>
    <t>NY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</si>
  <si>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</si>
  <si>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</si>
  <si>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</si>
  <si>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</si>
  <si>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</si>
  <si>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</si>
  <si>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</si>
  <si>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</si>
  <si>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</si>
  <si>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</si>
  <si>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</si>
  <si>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</si>
  <si>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</si>
  <si>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</si>
  <si>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</si>
  <si>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</si>
  <si>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</si>
  <si>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</si>
  <si>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</si>
  <si>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</si>
  <si>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</si>
  <si>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</si>
  <si>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</si>
  <si>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</si>
  <si>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</si>
  <si>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</si>
  <si>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</si>
  <si>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</si>
  <si>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</si>
  <si>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</si>
  <si>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</si>
  <si>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</si>
  <si>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</si>
  <si>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</si>
  <si>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</si>
  <si>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</si>
  <si>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</si>
  <si>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</si>
  <si>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</si>
  <si>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</si>
  <si>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</si>
  <si>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</si>
  <si>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</si>
  <si>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</si>
  <si>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</si>
  <si>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</si>
  <si>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</si>
  <si>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</si>
  <si>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</si>
  <si>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</si>
  <si>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</si>
  <si>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</si>
  <si>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.</t>
  </si>
  <si>
    <t>-</t>
  </si>
  <si>
    <t>_</t>
  </si>
  <si>
    <t>Assuming that your list of valid characters is in A1:A91 and that the first entry for which you wish to perform the test is in B1, enter this formula in C1:
=IF(LEN(B1)=0,"",REPT("not ",SUMPRODUCT(0+(ISNUMBER(MATCH(MID(B1,ROW(INDEX(B:B,1):INDEX(B:B,LEN(B1))),1),$A$1:$A$91,0))))&lt;&gt;LEN(B1))&amp;"ok")
Copy down to give similar results for strings in B2, B3, etc.
We can in fact do without the use of an explicit list within the worksheet, viz:
=IF(LEN(B1)=0,"",REPT("not ",SUMPRODUCT(0+(ABS(77-CODE(MID(B1,ROW(INDEX(B:B,1):INDEX(B:B,LEN(B1))),1)))&gt;45)))&amp;"ok")</t>
  </si>
  <si>
    <t>/</t>
  </si>
  <si>
    <t>https://www.automateexcel.com/vba-code-examples/</t>
  </si>
  <si>
    <t>sspboqa@mailinator.com</t>
  </si>
  <si>
    <t>gjhgjghkh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</si>
</sst>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.00"/>
  </numFmts>
  <fonts count="6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C99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5" fillId="0" borderId="0" applyNumberFormat="0" applyFill="0" applyBorder="0" applyAlignment="0" applyProtection="0"/>
  </cellStyleXfs>
  <cellXfs count="16">
    <xf numFmtId="0" fontId="0" fillId="0" borderId="0" xfId="0"/>
    <xf numFmtId="0" fontId="3" fillId="0" borderId="2" xfId="0" applyFont="1" applyBorder="1"/>
    <xf numFmtId="0" fontId="0" fillId="0" borderId="2" xfId="0" applyBorder="1"/>
    <xf numFmtId="0" fontId="4" fillId="0" borderId="0" xfId="0" applyFont="1"/>
    <xf numFmtId="0" fontId="2" fillId="0" borderId="0" xfId="0" applyFont="1"/>
    <xf numFmtId="164" fontId="0" fillId="0" borderId="0" xfId="0" applyNumberFormat="1"/>
    <xf numFmtId="0" fontId="1" fillId="2" borderId="1" xfId="1" applyAlignment="1">
      <alignment horizontal="center" vertical="top"/>
    </xf>
    <xf numFmtId="0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quotePrefix="1"/>
    <xf numFmtId="0" fontId="0" fillId="0" borderId="0" xfId="0" applyFont="1" applyAlignment="1">
      <alignment horizontal="left"/>
    </xf>
    <xf numFmtId="0" fontId="0" fillId="0" borderId="0" xfId="0" applyAlignment="1">
      <alignment horizontal="left"/>
    </xf>
    <xf numFmtId="0" fontId="5" fillId="0" borderId="0" xfId="2" applyAlignment="1">
      <alignment horizontal="left"/>
    </xf>
    <xf numFmtId="0" fontId="0" fillId="0" borderId="0" xfId="0" applyAlignment="1">
      <alignment horizontal="left" wrapText="1"/>
    </xf>
    <xf numFmtId="0" fontId="5" fillId="0" borderId="0" xfId="2"/>
    <xf numFmtId="0" fontId="5" fillId="0" borderId="0" xfId="0" quotePrefix="1" applyFont="1"/>
  </cellXfs>
  <cellStyles count="3">
    <cellStyle name="Hyperlink" xfId="2" builtinId="8"/>
    <cellStyle name="Input" xfId="1" builtinId="20"/>
    <cellStyle name="Normal" xfId="0" builtinId="0"/>
  </cellStyles>
  <dxfs count="4"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2" name="tbl_detail" displayName="tbl_detail" ref="B16:F18" totalsRowShown="0">
  <autoFilter ref="B16:F18"/>
  <tableColumns count="5">
    <tableColumn id="1" name="ItemNum"/>
    <tableColumn id="2" name="Description" dataDxfId="3">
      <calculatedColumnFormula>IFERROR(VLOOKUP(tbl_detail[[#This Row],[ItemNum]],tbl_items[],3,0),"")</calculatedColumnFormula>
    </tableColumn>
    <tableColumn id="3" name="Price" dataDxfId="2">
      <calculatedColumnFormula>IFERROR(VLOOKUP(tbl_detail[[#This Row],[ItemNum]],tbl_items[],2,0),0)</calculatedColumnFormula>
    </tableColumn>
    <tableColumn id="4" name="Quantity"/>
    <tableColumn id="5" name="Total" dataDxfId="1">
      <calculatedColumnFormula>tbl_detail[Price]*tbl_detail[Quantity]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bl_items" displayName="tbl_items" ref="B6:D16" totalsRowShown="0">
  <autoFilter ref="B6:D16"/>
  <tableColumns count="3">
    <tableColumn id="1" name="ItemNum"/>
    <tableColumn id="2" name="Price" dataDxfId="0"/>
    <tableColumn id="3" name="Descrip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test@test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mailto:sspboqa@mailinator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8"/>
  <sheetViews>
    <sheetView zoomScaleNormal="100" workbookViewId="0">
      <selection activeCell="D18" sqref="D18"/>
    </sheetView>
  </sheetViews>
  <sheetFormatPr defaultRowHeight="15" x14ac:dyDescent="0.25"/>
  <cols>
    <col min="2" max="2" width="13.85546875" customWidth="1"/>
    <col min="3" max="3" width="18.85546875" customWidth="1"/>
    <col min="5" max="5" width="10.85546875" customWidth="1"/>
    <col min="8" max="8" width="40.7109375" bestFit="1" customWidth="1"/>
    <col min="9" max="9" width="9.140625" style="8"/>
  </cols>
  <sheetData>
    <row r="1" spans="1:8" ht="24" thickBot="1" x14ac:dyDescent="0.4">
      <c r="A1" s="1" t="s">
        <v>1</v>
      </c>
      <c r="B1" s="2"/>
      <c r="C1" s="2"/>
      <c r="D1" s="2"/>
      <c r="E1" s="2"/>
      <c r="F1" s="2"/>
      <c r="G1" s="2"/>
      <c r="H1" s="2"/>
    </row>
    <row r="2" spans="1:8" ht="18.75" x14ac:dyDescent="0.3">
      <c r="A2" s="3" t="s">
        <v>0</v>
      </c>
    </row>
    <row r="4" spans="1:8" x14ac:dyDescent="0.25">
      <c r="A4" s="4" t="s">
        <v>2</v>
      </c>
    </row>
    <row r="5" spans="1:8" x14ac:dyDescent="0.25">
      <c r="B5" t="s">
        <v>4</v>
      </c>
      <c r="C5" s="6" t="s">
        <v>36</v>
      </c>
      <c r="D5" s="9"/>
    </row>
    <row r="6" spans="1:8" x14ac:dyDescent="0.25">
      <c r="B6" t="s">
        <v>5</v>
      </c>
      <c r="C6" s="6" t="s">
        <v>37</v>
      </c>
    </row>
    <row r="7" spans="1:8" x14ac:dyDescent="0.25">
      <c r="B7" t="s">
        <v>6</v>
      </c>
      <c r="C7" s="6" t="s">
        <v>38</v>
      </c>
    </row>
    <row r="8" spans="1:8" x14ac:dyDescent="0.25">
      <c r="B8" t="s">
        <v>7</v>
      </c>
      <c r="C8" s="6" t="s">
        <v>39</v>
      </c>
    </row>
    <row r="9" spans="1:8" x14ac:dyDescent="0.25">
      <c r="B9" t="s">
        <v>8</v>
      </c>
      <c r="C9" s="6">
        <v>10001</v>
      </c>
    </row>
    <row r="11" spans="1:8" x14ac:dyDescent="0.25">
      <c r="A11" s="4" t="s">
        <v>14</v>
      </c>
    </row>
    <row r="12" spans="1:8" x14ac:dyDescent="0.25">
      <c r="B12" t="s">
        <v>13</v>
      </c>
      <c r="C12" s="5">
        <f>SUM(tbl_detail[Total])</f>
        <v>142.84</v>
      </c>
    </row>
    <row r="14" spans="1:8" x14ac:dyDescent="0.25">
      <c r="A14" s="4" t="s">
        <v>3</v>
      </c>
    </row>
    <row r="16" spans="1:8" x14ac:dyDescent="0.25">
      <c r="B16" t="s">
        <v>9</v>
      </c>
      <c r="C16" t="s">
        <v>10</v>
      </c>
      <c r="D16" t="s">
        <v>11</v>
      </c>
      <c r="E16" t="s">
        <v>12</v>
      </c>
      <c r="F16" t="s">
        <v>13</v>
      </c>
    </row>
    <row r="17" spans="2:6" x14ac:dyDescent="0.25">
      <c r="B17" t="s">
        <v>26</v>
      </c>
      <c r="C17" t="str">
        <f>IFERROR(VLOOKUP(tbl_detail[[#This Row],[ItemNum]],tbl_items[],3,0),"")</f>
        <v>Cabinets</v>
      </c>
      <c r="D17" s="5">
        <f>IFERROR(VLOOKUP(tbl_detail[[#This Row],[ItemNum]],tbl_items[],2,0),0)</f>
        <v>122.5</v>
      </c>
      <c r="E17">
        <v>1</v>
      </c>
      <c r="F17" s="5">
        <f>tbl_detail[Price]*tbl_detail[Quantity]</f>
        <v>122.5</v>
      </c>
    </row>
    <row r="18" spans="2:6" x14ac:dyDescent="0.25">
      <c r="B18" t="s">
        <v>27</v>
      </c>
      <c r="C18" s="7" t="str">
        <f>IFERROR(VLOOKUP(tbl_detail[[#This Row],[ItemNum]],tbl_items[],3,0),"")</f>
        <v>Cabinet Pulls</v>
      </c>
      <c r="D18" s="5">
        <f>IFERROR(VLOOKUP(tbl_detail[[#This Row],[ItemNum]],tbl_items[],2,0),0)</f>
        <v>10.17</v>
      </c>
      <c r="E18">
        <v>2</v>
      </c>
      <c r="F18" s="5">
        <f>tbl_detail[Price]*tbl_detail[Quantity]</f>
        <v>20.34</v>
      </c>
    </row>
  </sheetData>
  <dataValidations count="1">
    <dataValidation type="list" allowBlank="1" showInputMessage="1" showErrorMessage="1" sqref="B17:B18">
      <formula1>dd_items</formula1>
    </dataValidation>
  </dataValidation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6"/>
  <sheetViews>
    <sheetView tabSelected="1" zoomScaleNormal="100" workbookViewId="0"/>
  </sheetViews>
  <sheetFormatPr defaultRowHeight="15" x14ac:dyDescent="0.25"/>
  <cols>
    <col min="2" max="2" width="11.5703125" customWidth="1"/>
    <col min="3" max="3" width="11.140625" customWidth="1"/>
    <col min="4" max="4" width="27" customWidth="1"/>
  </cols>
  <sheetData>
    <row r="1" spans="1:8" ht="24" thickBot="1" x14ac:dyDescent="0.4">
      <c r="A1" s="1" t="s">
        <v>15</v>
      </c>
      <c r="B1" s="2"/>
      <c r="C1" s="2"/>
      <c r="D1" s="2"/>
      <c r="E1" s="2"/>
      <c r="F1" s="2"/>
      <c r="G1" s="2"/>
      <c r="H1" s="2"/>
    </row>
    <row r="2" spans="1:8" ht="18.75" x14ac:dyDescent="0.3">
      <c r="A2" s="3" t="s">
        <v>0</v>
      </c>
    </row>
    <row r="4" spans="1:8" x14ac:dyDescent="0.25">
      <c r="A4" s="4" t="s">
        <v>15</v>
      </c>
    </row>
    <row r="6" spans="1:8" x14ac:dyDescent="0.25">
      <c r="B6" t="s">
        <v>9</v>
      </c>
      <c r="C6" t="s">
        <v>11</v>
      </c>
      <c r="D6" t="s">
        <v>10</v>
      </c>
    </row>
    <row r="7" spans="1:8" x14ac:dyDescent="0.25">
      <c r="B7" t="s">
        <v>26</v>
      </c>
      <c r="C7" s="5">
        <v>122.5</v>
      </c>
      <c r="D7" t="s">
        <v>16</v>
      </c>
    </row>
    <row r="8" spans="1:8" x14ac:dyDescent="0.25">
      <c r="B8" t="s">
        <v>27</v>
      </c>
      <c r="C8" s="5">
        <v>10.17</v>
      </c>
      <c r="D8" t="s">
        <v>17</v>
      </c>
    </row>
    <row r="9" spans="1:8" x14ac:dyDescent="0.25">
      <c r="B9" t="s">
        <v>28</v>
      </c>
      <c r="C9" s="5">
        <v>175</v>
      </c>
      <c r="D9" t="s">
        <v>25</v>
      </c>
    </row>
    <row r="10" spans="1:8" x14ac:dyDescent="0.25">
      <c r="B10" t="s">
        <v>29</v>
      </c>
      <c r="C10" s="5">
        <v>39.200000000000003</v>
      </c>
      <c r="D10" t="s">
        <v>23</v>
      </c>
    </row>
    <row r="11" spans="1:8" x14ac:dyDescent="0.25">
      <c r="B11" t="s">
        <v>30</v>
      </c>
      <c r="C11" s="5">
        <v>15.22</v>
      </c>
      <c r="D11" t="s">
        <v>24</v>
      </c>
    </row>
    <row r="12" spans="1:8" x14ac:dyDescent="0.25">
      <c r="B12" t="s">
        <v>31</v>
      </c>
      <c r="C12" s="5">
        <v>7.25</v>
      </c>
      <c r="D12" t="s">
        <v>18</v>
      </c>
    </row>
    <row r="13" spans="1:8" x14ac:dyDescent="0.25">
      <c r="B13" t="s">
        <v>32</v>
      </c>
      <c r="C13" s="5">
        <v>9.25</v>
      </c>
      <c r="D13" t="s">
        <v>19</v>
      </c>
    </row>
    <row r="14" spans="1:8" x14ac:dyDescent="0.25">
      <c r="B14" t="s">
        <v>33</v>
      </c>
      <c r="C14" s="5">
        <v>25.25</v>
      </c>
      <c r="D14" t="s">
        <v>20</v>
      </c>
    </row>
    <row r="15" spans="1:8" x14ac:dyDescent="0.25">
      <c r="B15" t="s">
        <v>35</v>
      </c>
      <c r="C15" s="5">
        <v>35.25</v>
      </c>
      <c r="D15" t="s">
        <v>21</v>
      </c>
    </row>
    <row r="16" spans="1:8" x14ac:dyDescent="0.25">
      <c r="B16" t="s">
        <v>34</v>
      </c>
      <c r="C16" s="5">
        <v>20.75</v>
      </c>
      <c r="D16" t="s">
        <v>22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65"/>
  <sheetViews>
    <sheetView workbookViewId="0">
      <selection activeCell="A7" sqref="A7"/>
    </sheetView>
  </sheetViews>
  <sheetFormatPr defaultRowHeight="15" x14ac:dyDescent="0.25"/>
  <cols>
    <col min="1" max="1" width="87.140625" style="11" customWidth="1"/>
    <col min="2" max="2" width="18.5703125" customWidth="1"/>
  </cols>
  <sheetData>
    <row r="1" spans="1:6" x14ac:dyDescent="0.25">
      <c r="A1" s="12" t="s">
        <v>96</v>
      </c>
      <c r="B1" s="8"/>
      <c r="C1" t="b">
        <f>(SUMPRODUCT(--(MOD(MATCH(CODE(MID(A$1,ROW(A1:INDEX(A:A,LEN(A1))),1)),{0,48,58,65,91,97,123}),2)=0)))=LEN(A1)</f>
        <v>0</v>
      </c>
      <c r="F1" s="10"/>
    </row>
    <row r="2" spans="1:6" x14ac:dyDescent="0.25">
      <c r="A2" s="11" t="str">
        <f ca="1">_xlfn.FORMULATEXT(B2)</f>
        <v>=LEN(A1)-LEN(SUBSTITUTE(A1,"@","")) = 1</v>
      </c>
      <c r="B2" s="8" t="b">
        <f>LEN(A1)-LEN(SUBSTITUTE(A1,"@","")) = 1</f>
        <v>0</v>
      </c>
      <c r="C2">
        <f>MOD(MATCH(CODE(MID(A$1,ROW(A1:INDEX(A:A,LEN(A1))),1)),{0,48,58,65,91,97,123}),2)</f>
        <v>1</v>
      </c>
      <c r="F2" s="10"/>
    </row>
    <row r="3" spans="1:6" x14ac:dyDescent="0.25">
      <c r="A3" s="11" t="str">
        <f ca="1">_xlfn.FORMULATEXT(B3)</f>
        <v>=LEFT(A1,FIND("@",A1)-1)</v>
      </c>
      <c r="B3" s="8" t="e">
        <f>LEFT(A1,FIND("@",A1)-1)</f>
        <v>#VALUE!</v>
      </c>
      <c r="F3" s="10"/>
    </row>
    <row r="4" spans="1:6" x14ac:dyDescent="0.25">
      <c r="A4" s="11" t="str">
        <f ca="1">_xlfn.FORMULATEXT(B4)</f>
        <v>=AND(NOT(ISERROR(VLOOKUP("*@*.*",A1,1,FALSE))),ISERROR(FIND(" ",A1)))</v>
      </c>
      <c r="B4" t="b">
        <f>AND(NOT(ISERROR(VLOOKUP("*@*.*",A1,1,FALSE))),ISERROR(FIND(" ",A1)))</f>
        <v>0</v>
      </c>
      <c r="C4">
        <f>CODE("@")</f>
        <v>64</v>
      </c>
      <c r="F4" s="10"/>
    </row>
    <row r="5" spans="1:6" x14ac:dyDescent="0.25">
      <c r="F5" s="10"/>
    </row>
    <row r="6" spans="1:6" x14ac:dyDescent="0.25">
      <c r="F6" s="10"/>
    </row>
    <row r="7" spans="1:6" x14ac:dyDescent="0.25">
      <c r="F7" s="10"/>
    </row>
    <row r="8" spans="1:6" x14ac:dyDescent="0.25">
      <c r="F8" s="10"/>
    </row>
    <row r="9" spans="1:6" x14ac:dyDescent="0.25">
      <c r="F9" s="10"/>
    </row>
    <row r="10" spans="1:6" x14ac:dyDescent="0.25">
      <c r="A10" s="11" t="s">
        <v>97</v>
      </c>
      <c r="F10" s="10"/>
    </row>
    <row r="11" spans="1:6" x14ac:dyDescent="0.25">
      <c r="C11" t="str">
        <f>CHAR(58)</f>
        <v>:</v>
      </c>
      <c r="F11" s="10"/>
    </row>
    <row r="12" spans="1:6" x14ac:dyDescent="0.25">
      <c r="F12" s="10"/>
    </row>
    <row r="13" spans="1:6" ht="195" x14ac:dyDescent="0.25">
      <c r="A13" s="13" t="s">
        <v>95</v>
      </c>
      <c r="F13" s="10"/>
    </row>
    <row r="14" spans="1:6" x14ac:dyDescent="0.25">
      <c r="F14" s="10"/>
    </row>
    <row r="15" spans="1:6" x14ac:dyDescent="0.25">
      <c r="F15" s="10"/>
    </row>
    <row r="16" spans="1:6" x14ac:dyDescent="0.25">
      <c r="F16" s="10"/>
    </row>
    <row r="17" spans="6:6" x14ac:dyDescent="0.25">
      <c r="F17" s="10"/>
    </row>
    <row r="18" spans="6:6" x14ac:dyDescent="0.25">
      <c r="F18" s="10"/>
    </row>
    <row r="19" spans="6:6" x14ac:dyDescent="0.25">
      <c r="F19" s="10"/>
    </row>
    <row r="20" spans="6:6" x14ac:dyDescent="0.25">
      <c r="F20" s="10"/>
    </row>
    <row r="21" spans="6:6" x14ac:dyDescent="0.25">
      <c r="F21" s="10"/>
    </row>
    <row r="22" spans="6:6" x14ac:dyDescent="0.25">
      <c r="F22" s="10"/>
    </row>
    <row r="23" spans="6:6" x14ac:dyDescent="0.25">
      <c r="F23" s="10"/>
    </row>
    <row r="24" spans="6:6" x14ac:dyDescent="0.25">
      <c r="F24" s="10"/>
    </row>
    <row r="25" spans="6:6" x14ac:dyDescent="0.25">
      <c r="F25" s="10"/>
    </row>
    <row r="26" spans="6:6" x14ac:dyDescent="0.25">
      <c r="F26" s="10"/>
    </row>
    <row r="27" spans="6:6" x14ac:dyDescent="0.25">
      <c r="F27" s="11"/>
    </row>
    <row r="28" spans="6:6" x14ac:dyDescent="0.25">
      <c r="F28" s="11"/>
    </row>
    <row r="29" spans="6:6" x14ac:dyDescent="0.25">
      <c r="F29" s="11"/>
    </row>
    <row r="30" spans="6:6" x14ac:dyDescent="0.25">
      <c r="F30" s="11"/>
    </row>
    <row r="31" spans="6:6" x14ac:dyDescent="0.25">
      <c r="F31" s="11"/>
    </row>
    <row r="32" spans="6:6" x14ac:dyDescent="0.25">
      <c r="F32" s="11"/>
    </row>
    <row r="33" spans="6:6" x14ac:dyDescent="0.25">
      <c r="F33" s="11"/>
    </row>
    <row r="34" spans="6:6" x14ac:dyDescent="0.25">
      <c r="F34" s="11"/>
    </row>
    <row r="35" spans="6:6" x14ac:dyDescent="0.25">
      <c r="F35" s="11"/>
    </row>
    <row r="36" spans="6:6" x14ac:dyDescent="0.25">
      <c r="F36" s="11"/>
    </row>
    <row r="37" spans="6:6" x14ac:dyDescent="0.25">
      <c r="F37" s="11"/>
    </row>
    <row r="38" spans="6:6" x14ac:dyDescent="0.25">
      <c r="F38" s="11"/>
    </row>
    <row r="39" spans="6:6" x14ac:dyDescent="0.25">
      <c r="F39" s="11"/>
    </row>
    <row r="40" spans="6:6" x14ac:dyDescent="0.25">
      <c r="F40" s="11"/>
    </row>
    <row r="41" spans="6:6" x14ac:dyDescent="0.25">
      <c r="F41" s="11"/>
    </row>
    <row r="42" spans="6:6" x14ac:dyDescent="0.25">
      <c r="F42" s="11"/>
    </row>
    <row r="43" spans="6:6" x14ac:dyDescent="0.25">
      <c r="F43" s="11"/>
    </row>
    <row r="44" spans="6:6" x14ac:dyDescent="0.25">
      <c r="F44" s="11"/>
    </row>
    <row r="45" spans="6:6" x14ac:dyDescent="0.25">
      <c r="F45" s="11"/>
    </row>
    <row r="46" spans="6:6" x14ac:dyDescent="0.25">
      <c r="F46" s="11"/>
    </row>
    <row r="47" spans="6:6" x14ac:dyDescent="0.25">
      <c r="F47" s="11"/>
    </row>
    <row r="48" spans="6:6" x14ac:dyDescent="0.25">
      <c r="F48" s="11"/>
    </row>
    <row r="49" spans="6:6" x14ac:dyDescent="0.25">
      <c r="F49" s="11"/>
    </row>
    <row r="50" spans="6:6" x14ac:dyDescent="0.25">
      <c r="F50" s="11"/>
    </row>
    <row r="51" spans="6:6" x14ac:dyDescent="0.25">
      <c r="F51" s="11"/>
    </row>
    <row r="52" spans="6:6" x14ac:dyDescent="0.25">
      <c r="F52" s="11"/>
    </row>
    <row r="53" spans="6:6" x14ac:dyDescent="0.25">
      <c r="F53" s="11"/>
    </row>
    <row r="54" spans="6:6" x14ac:dyDescent="0.25">
      <c r="F54" s="11"/>
    </row>
    <row r="55" spans="6:6" x14ac:dyDescent="0.25">
      <c r="F55" s="11"/>
    </row>
    <row r="56" spans="6:6" x14ac:dyDescent="0.25">
      <c r="F56" s="11"/>
    </row>
    <row r="57" spans="6:6" x14ac:dyDescent="0.25">
      <c r="F57" s="11"/>
    </row>
    <row r="58" spans="6:6" x14ac:dyDescent="0.25">
      <c r="F58" s="11"/>
    </row>
    <row r="59" spans="6:6" x14ac:dyDescent="0.25">
      <c r="F59" s="11"/>
    </row>
    <row r="60" spans="6:6" x14ac:dyDescent="0.25">
      <c r="F60" s="11"/>
    </row>
    <row r="61" spans="6:6" x14ac:dyDescent="0.25">
      <c r="F61" s="11"/>
    </row>
    <row r="62" spans="6:6" x14ac:dyDescent="0.25">
      <c r="F62" s="11"/>
    </row>
    <row r="63" spans="6:6" x14ac:dyDescent="0.25">
      <c r="F63" s="11"/>
    </row>
    <row r="64" spans="6:6" x14ac:dyDescent="0.25">
      <c r="F64" s="11"/>
    </row>
    <row r="65" spans="6:6" x14ac:dyDescent="0.25">
      <c r="F65" s="11"/>
    </row>
  </sheetData>
  <dataValidations count="1">
    <dataValidation type="custom" allowBlank="1" showInputMessage="1" showErrorMessage="1" errorTitle="Error" error="Email Error" sqref="A1">
      <formula1>COUNT(MATCH(MID(A1,ROW(INDIRECT("1:"&amp;LEN(A1))),1),Allowed&amp;"",0))=LEN(A1)</formula1>
    </dataValidation>
  </dataValidations>
  <hyperlinks>
    <hyperlink ref="A1" r:id="rId1" display="test@test"/>
  </hyperlinks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65"/>
  <sheetViews>
    <sheetView workbookViewId="0">
      <selection activeCell="C12" sqref="C12"/>
    </sheetView>
  </sheetViews>
  <sheetFormatPr defaultRowHeight="15" x14ac:dyDescent="0.25"/>
  <cols>
    <col min="1" max="1" width="9.140625" style="11"/>
  </cols>
  <sheetData>
    <row r="1" spans="1:1" x14ac:dyDescent="0.25">
      <c r="A1" s="10" t="s">
        <v>66</v>
      </c>
    </row>
    <row r="2" spans="1:1" x14ac:dyDescent="0.25">
      <c r="A2" s="10" t="s">
        <v>67</v>
      </c>
    </row>
    <row r="3" spans="1:1" x14ac:dyDescent="0.25">
      <c r="A3" s="10" t="s">
        <v>68</v>
      </c>
    </row>
    <row r="4" spans="1:1" x14ac:dyDescent="0.25">
      <c r="A4" s="10" t="s">
        <v>69</v>
      </c>
    </row>
    <row r="5" spans="1:1" x14ac:dyDescent="0.25">
      <c r="A5" s="10" t="s">
        <v>70</v>
      </c>
    </row>
    <row r="6" spans="1:1" x14ac:dyDescent="0.25">
      <c r="A6" s="10" t="s">
        <v>71</v>
      </c>
    </row>
    <row r="7" spans="1:1" x14ac:dyDescent="0.25">
      <c r="A7" s="10" t="s">
        <v>72</v>
      </c>
    </row>
    <row r="8" spans="1:1" x14ac:dyDescent="0.25">
      <c r="A8" s="10" t="s">
        <v>73</v>
      </c>
    </row>
    <row r="9" spans="1:1" x14ac:dyDescent="0.25">
      <c r="A9" s="10" t="s">
        <v>74</v>
      </c>
    </row>
    <row r="10" spans="1:1" x14ac:dyDescent="0.25">
      <c r="A10" s="10" t="s">
        <v>75</v>
      </c>
    </row>
    <row r="11" spans="1:1" x14ac:dyDescent="0.25">
      <c r="A11" s="10" t="s">
        <v>76</v>
      </c>
    </row>
    <row r="12" spans="1:1" x14ac:dyDescent="0.25">
      <c r="A12" s="10" t="s">
        <v>77</v>
      </c>
    </row>
    <row r="13" spans="1:1" x14ac:dyDescent="0.25">
      <c r="A13" s="10" t="s">
        <v>78</v>
      </c>
    </row>
    <row r="14" spans="1:1" x14ac:dyDescent="0.25">
      <c r="A14" s="10" t="s">
        <v>79</v>
      </c>
    </row>
    <row r="15" spans="1:1" x14ac:dyDescent="0.25">
      <c r="A15" s="10" t="s">
        <v>80</v>
      </c>
    </row>
    <row r="16" spans="1:1" x14ac:dyDescent="0.25">
      <c r="A16" s="10" t="s">
        <v>81</v>
      </c>
    </row>
    <row r="17" spans="1:1" x14ac:dyDescent="0.25">
      <c r="A17" s="10" t="s">
        <v>82</v>
      </c>
    </row>
    <row r="18" spans="1:1" x14ac:dyDescent="0.25">
      <c r="A18" s="10" t="s">
        <v>83</v>
      </c>
    </row>
    <row r="19" spans="1:1" x14ac:dyDescent="0.25">
      <c r="A19" s="10" t="s">
        <v>84</v>
      </c>
    </row>
    <row r="20" spans="1:1" x14ac:dyDescent="0.25">
      <c r="A20" s="10" t="s">
        <v>85</v>
      </c>
    </row>
    <row r="21" spans="1:1" x14ac:dyDescent="0.25">
      <c r="A21" s="10" t="s">
        <v>86</v>
      </c>
    </row>
    <row r="22" spans="1:1" x14ac:dyDescent="0.25">
      <c r="A22" s="10" t="s">
        <v>87</v>
      </c>
    </row>
    <row r="23" spans="1:1" x14ac:dyDescent="0.25">
      <c r="A23" s="10" t="s">
        <v>88</v>
      </c>
    </row>
    <row r="24" spans="1:1" x14ac:dyDescent="0.25">
      <c r="A24" s="10" t="s">
        <v>89</v>
      </c>
    </row>
    <row r="25" spans="1:1" x14ac:dyDescent="0.25">
      <c r="A25" s="10" t="s">
        <v>90</v>
      </c>
    </row>
    <row r="26" spans="1:1" x14ac:dyDescent="0.25">
      <c r="A26" s="10" t="s">
        <v>91</v>
      </c>
    </row>
    <row r="27" spans="1:1" x14ac:dyDescent="0.25">
      <c r="A27" s="11" t="s">
        <v>40</v>
      </c>
    </row>
    <row r="28" spans="1:1" x14ac:dyDescent="0.25">
      <c r="A28" s="11" t="s">
        <v>41</v>
      </c>
    </row>
    <row r="29" spans="1:1" x14ac:dyDescent="0.25">
      <c r="A29" s="11" t="s">
        <v>42</v>
      </c>
    </row>
    <row r="30" spans="1:1" x14ac:dyDescent="0.25">
      <c r="A30" s="11" t="s">
        <v>43</v>
      </c>
    </row>
    <row r="31" spans="1:1" x14ac:dyDescent="0.25">
      <c r="A31" s="11" t="s">
        <v>44</v>
      </c>
    </row>
    <row r="32" spans="1:1" x14ac:dyDescent="0.25">
      <c r="A32" s="11" t="s">
        <v>45</v>
      </c>
    </row>
    <row r="33" spans="1:1" x14ac:dyDescent="0.25">
      <c r="A33" s="11" t="s">
        <v>46</v>
      </c>
    </row>
    <row r="34" spans="1:1" x14ac:dyDescent="0.25">
      <c r="A34" s="11" t="s">
        <v>47</v>
      </c>
    </row>
    <row r="35" spans="1:1" x14ac:dyDescent="0.25">
      <c r="A35" s="11" t="s">
        <v>48</v>
      </c>
    </row>
    <row r="36" spans="1:1" x14ac:dyDescent="0.25">
      <c r="A36" s="11" t="s">
        <v>49</v>
      </c>
    </row>
    <row r="37" spans="1:1" x14ac:dyDescent="0.25">
      <c r="A37" s="11" t="s">
        <v>50</v>
      </c>
    </row>
    <row r="38" spans="1:1" x14ac:dyDescent="0.25">
      <c r="A38" s="11" t="s">
        <v>51</v>
      </c>
    </row>
    <row r="39" spans="1:1" x14ac:dyDescent="0.25">
      <c r="A39" s="11" t="s">
        <v>52</v>
      </c>
    </row>
    <row r="40" spans="1:1" x14ac:dyDescent="0.25">
      <c r="A40" s="11" t="s">
        <v>53</v>
      </c>
    </row>
    <row r="41" spans="1:1" x14ac:dyDescent="0.25">
      <c r="A41" s="11" t="s">
        <v>54</v>
      </c>
    </row>
    <row r="42" spans="1:1" x14ac:dyDescent="0.25">
      <c r="A42" s="11" t="s">
        <v>55</v>
      </c>
    </row>
    <row r="43" spans="1:1" x14ac:dyDescent="0.25">
      <c r="A43" s="11" t="s">
        <v>56</v>
      </c>
    </row>
    <row r="44" spans="1:1" x14ac:dyDescent="0.25">
      <c r="A44" s="11" t="s">
        <v>57</v>
      </c>
    </row>
    <row r="45" spans="1:1" x14ac:dyDescent="0.25">
      <c r="A45" s="11" t="s">
        <v>58</v>
      </c>
    </row>
    <row r="46" spans="1:1" x14ac:dyDescent="0.25">
      <c r="A46" s="11" t="s">
        <v>59</v>
      </c>
    </row>
    <row r="47" spans="1:1" x14ac:dyDescent="0.25">
      <c r="A47" s="11" t="s">
        <v>60</v>
      </c>
    </row>
    <row r="48" spans="1:1" x14ac:dyDescent="0.25">
      <c r="A48" s="11" t="s">
        <v>61</v>
      </c>
    </row>
    <row r="49" spans="1:1" x14ac:dyDescent="0.25">
      <c r="A49" s="11" t="s">
        <v>62</v>
      </c>
    </row>
    <row r="50" spans="1:1" x14ac:dyDescent="0.25">
      <c r="A50" s="11" t="s">
        <v>63</v>
      </c>
    </row>
    <row r="51" spans="1:1" x14ac:dyDescent="0.25">
      <c r="A51" s="11" t="s">
        <v>64</v>
      </c>
    </row>
    <row r="52" spans="1:1" x14ac:dyDescent="0.25">
      <c r="A52" s="11" t="s">
        <v>65</v>
      </c>
    </row>
    <row r="53" spans="1:1" x14ac:dyDescent="0.25">
      <c r="A53" s="11">
        <v>1</v>
      </c>
    </row>
    <row r="54" spans="1:1" x14ac:dyDescent="0.25">
      <c r="A54" s="11">
        <v>2</v>
      </c>
    </row>
    <row r="55" spans="1:1" x14ac:dyDescent="0.25">
      <c r="A55" s="11">
        <v>3</v>
      </c>
    </row>
    <row r="56" spans="1:1" x14ac:dyDescent="0.25">
      <c r="A56" s="11">
        <v>4</v>
      </c>
    </row>
    <row r="57" spans="1:1" x14ac:dyDescent="0.25">
      <c r="A57" s="11">
        <v>5</v>
      </c>
    </row>
    <row r="58" spans="1:1" x14ac:dyDescent="0.25">
      <c r="A58" s="11">
        <v>6</v>
      </c>
    </row>
    <row r="59" spans="1:1" x14ac:dyDescent="0.25">
      <c r="A59" s="11">
        <v>7</v>
      </c>
    </row>
    <row r="60" spans="1:1" x14ac:dyDescent="0.25">
      <c r="A60" s="11">
        <v>8</v>
      </c>
    </row>
    <row r="61" spans="1:1" x14ac:dyDescent="0.25">
      <c r="A61" s="11">
        <v>9</v>
      </c>
    </row>
    <row r="62" spans="1:1" x14ac:dyDescent="0.25">
      <c r="A62" s="11">
        <v>0</v>
      </c>
    </row>
    <row r="63" spans="1:1" x14ac:dyDescent="0.25">
      <c r="A63" s="11" t="s">
        <v>92</v>
      </c>
    </row>
    <row r="64" spans="1:1" x14ac:dyDescent="0.25">
      <c r="A64" s="11" t="s">
        <v>93</v>
      </c>
    </row>
    <row r="65" spans="1:1" x14ac:dyDescent="0.25">
      <c r="A65" s="11" t="s">
        <v>94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7"/>
  <sheetViews>
    <sheetView workbookViewId="0">
      <selection activeCell="C3" sqref="C3"/>
    </sheetView>
  </sheetViews>
  <sheetFormatPr defaultRowHeight="15" x14ac:dyDescent="0.25"/>
  <cols>
    <col min="1" max="1" width="24" bestFit="1" customWidth="1"/>
  </cols>
  <sheetData>
    <row r="1" spans="1:3" x14ac:dyDescent="0.25">
      <c r="A1" s="12" t="s">
        <v>98</v>
      </c>
      <c r="C1" t="b">
        <f>AlphaNumeric(A1)</f>
        <v>0</v>
      </c>
    </row>
    <row r="2" spans="1:3" x14ac:dyDescent="0.25">
      <c r="A2" s="15" t="s">
        <v>99</v>
      </c>
      <c r="C2" t="b">
        <f>IsEmailAddress(A2)</f>
        <v>0</v>
      </c>
    </row>
    <row r="7" spans="1:3" x14ac:dyDescent="0.25">
      <c r="A7" s="14"/>
    </row>
  </sheetData>
  <hyperlinks>
    <hyperlink ref="A1" r:id="rId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Invoice</vt:lpstr>
      <vt:lpstr>Items</vt:lpstr>
      <vt:lpstr>Mail</vt:lpstr>
      <vt:lpstr>Mail Char</vt:lpstr>
      <vt:lpstr>Macros</vt:lpstr>
      <vt:lpstr>Allowed</vt:lpstr>
      <vt:lpstr>dd_items</vt:lpstr>
      <vt:lpstr>MailChar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</dc:creator>
  <cp:lastModifiedBy>Jarvis</cp:lastModifiedBy>
  <dcterms:created xsi:type="dcterms:W3CDTF">2014-10-02T16:05:54Z</dcterms:created>
  <dcterms:modified xsi:type="dcterms:W3CDTF">2019-09-15T10:24:25Z</dcterms:modified>
</cp:coreProperties>
</file>